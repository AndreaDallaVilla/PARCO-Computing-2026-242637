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d9ed62aa28faab/Desktop/second_deliverable/"/>
    </mc:Choice>
  </mc:AlternateContent>
  <xr:revisionPtr revIDLastSave="16" documentId="13_ncr:1_{8A3E0A30-2F5F-4CB6-857A-5A5C6C99ACD5}" xr6:coauthVersionLast="47" xr6:coauthVersionMax="47" xr10:uidLastSave="{329B9041-B2CD-4EE1-BDEF-0252CEC493C9}"/>
  <bookViews>
    <workbookView xWindow="11424" yWindow="0" windowWidth="11712" windowHeight="12336" xr2:uid="{CA29823A-572C-4C5B-AF72-A902EC1291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" l="1"/>
  <c r="B26" i="1"/>
  <c r="B16" i="1"/>
  <c r="B15" i="1"/>
  <c r="B14" i="1"/>
  <c r="B13" i="1"/>
  <c r="B7" i="1"/>
  <c r="G3" i="1"/>
  <c r="H3" i="1" s="1"/>
  <c r="G24" i="1"/>
  <c r="I4" i="1"/>
  <c r="J4" i="1" s="1"/>
  <c r="H51" i="1"/>
  <c r="E7" i="1"/>
  <c r="I3" i="1"/>
  <c r="J3" i="1" s="1"/>
  <c r="G2" i="1"/>
  <c r="I24" i="1"/>
  <c r="J24" i="1" s="1"/>
  <c r="J56" i="1"/>
  <c r="J55" i="1"/>
  <c r="J54" i="1"/>
  <c r="J53" i="1"/>
  <c r="J52" i="1"/>
  <c r="J51" i="1"/>
  <c r="J50" i="1"/>
  <c r="J49" i="1"/>
  <c r="H50" i="1"/>
  <c r="H52" i="1"/>
  <c r="H53" i="1"/>
  <c r="H54" i="1"/>
  <c r="H55" i="1"/>
  <c r="H56" i="1"/>
  <c r="H49" i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G41" i="1"/>
  <c r="H41" i="1" s="1"/>
  <c r="G40" i="1"/>
  <c r="H40" i="1" s="1"/>
  <c r="G38" i="1"/>
  <c r="H38" i="1" s="1"/>
  <c r="G39" i="1"/>
  <c r="H39" i="1" s="1"/>
  <c r="G37" i="1"/>
  <c r="H37" i="1" s="1"/>
  <c r="G36" i="1"/>
  <c r="H36" i="1" s="1"/>
  <c r="G35" i="1"/>
  <c r="H35" i="1" s="1"/>
  <c r="G34" i="1"/>
  <c r="E35" i="1"/>
  <c r="E36" i="1"/>
  <c r="E37" i="1"/>
  <c r="E38" i="1"/>
  <c r="E39" i="1"/>
  <c r="E40" i="1"/>
  <c r="E41" i="1"/>
  <c r="E34" i="1"/>
  <c r="B41" i="1"/>
  <c r="B40" i="1"/>
  <c r="B39" i="1"/>
  <c r="B38" i="1"/>
  <c r="B37" i="1"/>
  <c r="B36" i="1"/>
  <c r="B35" i="1"/>
  <c r="E2" i="1"/>
  <c r="E3" i="1"/>
  <c r="E4" i="1"/>
  <c r="E5" i="1"/>
  <c r="E6" i="1"/>
  <c r="E8" i="1"/>
  <c r="E9" i="1"/>
  <c r="E13" i="1"/>
  <c r="E14" i="1"/>
  <c r="E15" i="1"/>
  <c r="E16" i="1"/>
  <c r="E17" i="1"/>
  <c r="E18" i="1"/>
  <c r="E19" i="1"/>
  <c r="E12" i="1"/>
  <c r="E24" i="1"/>
  <c r="E25" i="1"/>
  <c r="E26" i="1"/>
  <c r="E27" i="1"/>
  <c r="E28" i="1"/>
  <c r="E29" i="1"/>
  <c r="E30" i="1"/>
  <c r="E23" i="1"/>
  <c r="I5" i="1"/>
  <c r="J5" i="1" s="1"/>
  <c r="G19" i="1"/>
  <c r="H19" i="1" s="1"/>
  <c r="G18" i="1"/>
  <c r="H18" i="1" s="1"/>
  <c r="G17" i="1"/>
  <c r="H17" i="1" s="1"/>
  <c r="G16" i="1"/>
  <c r="H16" i="1" s="1"/>
  <c r="G15" i="1"/>
  <c r="H15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3" i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H24" i="1"/>
  <c r="G23" i="1"/>
  <c r="H23" i="1" s="1"/>
  <c r="B30" i="1"/>
  <c r="B28" i="1"/>
  <c r="B27" i="1"/>
  <c r="B25" i="1"/>
  <c r="B24" i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G14" i="1"/>
  <c r="H14" i="1" s="1"/>
  <c r="G13" i="1"/>
  <c r="H13" i="1" s="1"/>
  <c r="G12" i="1"/>
  <c r="B19" i="1"/>
  <c r="B18" i="1"/>
  <c r="B17" i="1"/>
  <c r="I6" i="1"/>
  <c r="J6" i="1" s="1"/>
  <c r="I7" i="1"/>
  <c r="J7" i="1" s="1"/>
  <c r="I8" i="1"/>
  <c r="J8" i="1" s="1"/>
  <c r="I9" i="1"/>
  <c r="J9" i="1" s="1"/>
  <c r="G8" i="1"/>
  <c r="H8" i="1" s="1"/>
  <c r="G9" i="1"/>
  <c r="H9" i="1" s="1"/>
  <c r="G7" i="1"/>
  <c r="H7" i="1" s="1"/>
  <c r="G6" i="1"/>
  <c r="H6" i="1" s="1"/>
  <c r="G5" i="1"/>
  <c r="H5" i="1" s="1"/>
  <c r="G4" i="1"/>
  <c r="H4" i="1" s="1"/>
  <c r="B9" i="1"/>
  <c r="B3" i="1"/>
  <c r="B4" i="1"/>
  <c r="B5" i="1"/>
  <c r="B6" i="1"/>
  <c r="B8" i="1"/>
</calcChain>
</file>

<file path=xl/sharedStrings.xml><?xml version="1.0" encoding="utf-8"?>
<sst xmlns="http://schemas.openxmlformats.org/spreadsheetml/2006/main" count="83" uniqueCount="30">
  <si>
    <t>matrices</t>
  </si>
  <si>
    <t>processes</t>
  </si>
  <si>
    <t>speedup per rank</t>
  </si>
  <si>
    <t>efficiency per rank</t>
  </si>
  <si>
    <t>Spielman_k500</t>
  </si>
  <si>
    <t>FLOPs per Rank</t>
  </si>
  <si>
    <t>rows</t>
  </si>
  <si>
    <t>41,792,002</t>
  </si>
  <si>
    <t>cols</t>
  </si>
  <si>
    <t>nz</t>
  </si>
  <si>
    <t>83,709,503</t>
  </si>
  <si>
    <t xml:space="preserve">efficiency </t>
  </si>
  <si>
    <t>speedup</t>
  </si>
  <si>
    <t>execution time RTT</t>
  </si>
  <si>
    <t>execution time computation</t>
  </si>
  <si>
    <t>F1</t>
  </si>
  <si>
    <t>process</t>
  </si>
  <si>
    <t>RTT</t>
  </si>
  <si>
    <t>ex time computation</t>
  </si>
  <si>
    <t>efficiency</t>
  </si>
  <si>
    <t>cage15</t>
  </si>
  <si>
    <t>ex time communication</t>
  </si>
  <si>
    <t>ship_001</t>
  </si>
  <si>
    <t>FLOPs</t>
  </si>
  <si>
    <t>weak scaling</t>
  </si>
  <si>
    <t>nnz min per rank</t>
  </si>
  <si>
    <t>nnz max per rank</t>
  </si>
  <si>
    <t>nnz avg per rank</t>
  </si>
  <si>
    <t>max/avg</t>
  </si>
  <si>
    <t>ncpus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</si>
</sst>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1" applyNumberFormat="1" applyFont="1"/>
    <xf numFmtId="1" fontId="0" fillId="0" borderId="0" xfId="0" applyNumberFormat="1"/>
    <xf numFmtId="1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3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RTT</a:t>
            </a:r>
            <a:r>
              <a:rPr lang="it-IT" baseline="0"/>
              <a:t> cage15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Sheet1!$E$22</c:f>
              <c:strCache>
                <c:ptCount val="1"/>
                <c:pt idx="0">
                  <c:v>ex time communication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Sheet1!$C$23:$C$30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Sheet1!$E$23:$E$30</c:f>
              <c:numCache>
                <c:formatCode>General</c:formatCode>
                <c:ptCount val="8"/>
                <c:pt idx="0">
                  <c:v>2.4524880000000002</c:v>
                </c:pt>
                <c:pt idx="1">
                  <c:v>1.3916839999999999</c:v>
                </c:pt>
                <c:pt idx="2">
                  <c:v>1.1480349999999999</c:v>
                </c:pt>
                <c:pt idx="3">
                  <c:v>1.036197</c:v>
                </c:pt>
                <c:pt idx="4">
                  <c:v>1.011441</c:v>
                </c:pt>
                <c:pt idx="5">
                  <c:v>1.059275</c:v>
                </c:pt>
                <c:pt idx="6">
                  <c:v>1.2554759999999998</c:v>
                </c:pt>
                <c:pt idx="7">
                  <c:v>1.355299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E-4182-B405-8ACB0BFC3850}"/>
            </c:ext>
          </c:extLst>
        </c:ser>
        <c:ser>
          <c:idx val="1"/>
          <c:order val="1"/>
          <c:tx>
            <c:strRef>
              <c:f>Sheet1!$F$22</c:f>
              <c:strCache>
                <c:ptCount val="1"/>
                <c:pt idx="0">
                  <c:v>ex time computation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Sheet1!$C$23:$C$30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Sheet1!$F$23:$F$30</c:f>
              <c:numCache>
                <c:formatCode>General</c:formatCode>
                <c:ptCount val="8"/>
                <c:pt idx="0">
                  <c:v>0.36666599999999999</c:v>
                </c:pt>
                <c:pt idx="1">
                  <c:v>0.112675</c:v>
                </c:pt>
                <c:pt idx="2">
                  <c:v>5.8747000000000001E-2</c:v>
                </c:pt>
                <c:pt idx="3">
                  <c:v>3.3340000000000002E-2</c:v>
                </c:pt>
                <c:pt idx="4">
                  <c:v>1.8478000000000001E-2</c:v>
                </c:pt>
                <c:pt idx="5">
                  <c:v>1.1831E-2</c:v>
                </c:pt>
                <c:pt idx="6">
                  <c:v>6.7089999999999997E-3</c:v>
                </c:pt>
                <c:pt idx="7">
                  <c:v>3.519E-3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7E-4182-B405-8ACB0BFC3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9680639"/>
        <c:axId val="839665759"/>
      </c:barChart>
      <c:catAx>
        <c:axId val="83968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9665759"/>
        <c:crosses val="autoZero"/>
        <c:auto val="1"/>
        <c:lblAlgn val="ctr"/>
        <c:lblOffset val="100"/>
        <c:noMultiLvlLbl val="0"/>
      </c:catAx>
      <c:valAx>
        <c:axId val="83966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968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RTT</a:t>
            </a:r>
            <a:r>
              <a:rPr lang="it-IT" baseline="0"/>
              <a:t> F1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Sheet1!$E$11</c:f>
              <c:strCache>
                <c:ptCount val="1"/>
                <c:pt idx="0">
                  <c:v>ex time communication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Sheet1!$C$23:$C$30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Sheet1!$E$12:$E$19</c:f>
              <c:numCache>
                <c:formatCode>General</c:formatCode>
                <c:ptCount val="8"/>
                <c:pt idx="0">
                  <c:v>0.34538500000000005</c:v>
                </c:pt>
                <c:pt idx="1">
                  <c:v>0.180867</c:v>
                </c:pt>
                <c:pt idx="2">
                  <c:v>0.14565</c:v>
                </c:pt>
                <c:pt idx="3">
                  <c:v>0.13041599999999998</c:v>
                </c:pt>
                <c:pt idx="4">
                  <c:v>0.130888</c:v>
                </c:pt>
                <c:pt idx="5">
                  <c:v>0.15618400000000002</c:v>
                </c:pt>
                <c:pt idx="6">
                  <c:v>0.18421300000000002</c:v>
                </c:pt>
                <c:pt idx="7">
                  <c:v>0.20409000000000002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9-45CB-AE28-28930E1B3EB9}"/>
            </c:ext>
          </c:extLst>
        </c:ser>
        <c:ser>
          <c:idx val="1"/>
          <c:order val="1"/>
          <c:tx>
            <c:strRef>
              <c:f>Sheet1!$F$11</c:f>
              <c:strCache>
                <c:ptCount val="1"/>
                <c:pt idx="0">
                  <c:v>ex time computation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Sheet1!$C$23:$C$30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Sheet1!$F$12:$F$19</c:f>
              <c:numCache>
                <c:formatCode>General</c:formatCode>
                <c:ptCount val="8"/>
                <c:pt idx="0">
                  <c:v>5.0757999999999998E-2</c:v>
                </c:pt>
                <c:pt idx="1">
                  <c:v>2.3255000000000001E-2</c:v>
                </c:pt>
                <c:pt idx="2">
                  <c:v>1.3003000000000001E-2</c:v>
                </c:pt>
                <c:pt idx="3">
                  <c:v>5.9239999999999996E-3</c:v>
                </c:pt>
                <c:pt idx="4">
                  <c:v>3.6329999999999999E-3</c:v>
                </c:pt>
                <c:pt idx="5">
                  <c:v>3.6519999999999999E-3</c:v>
                </c:pt>
                <c:pt idx="6">
                  <c:v>1.5219999999999999E-3</c:v>
                </c:pt>
                <c:pt idx="7">
                  <c:v>1.6280000000000001E-3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9-45CB-AE28-28930E1B3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9579359"/>
        <c:axId val="839569279"/>
      </c:barChart>
      <c:catAx>
        <c:axId val="83957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9569279"/>
        <c:crosses val="autoZero"/>
        <c:auto val="1"/>
        <c:lblAlgn val="ctr"/>
        <c:lblOffset val="100"/>
        <c:noMultiLvlLbl val="0"/>
      </c:catAx>
      <c:valAx>
        <c:axId val="83956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957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RTT</a:t>
            </a:r>
            <a:r>
              <a:rPr lang="it-IT" baseline="0"/>
              <a:t> </a:t>
            </a:r>
            <a:r>
              <a:rPr lang="it-IT" sz="1400" b="0" i="0" u="none" strike="noStrike" baseline="0">
                <a:effectLst/>
              </a:rPr>
              <a:t>Spielman_k500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ex time communication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Sheet1!$C$2:$C$9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Sheet1!$E$2:$E$9</c:f>
              <c:numCache>
                <c:formatCode>General</c:formatCode>
                <c:ptCount val="8"/>
                <c:pt idx="0">
                  <c:v>2.5522270000000002</c:v>
                </c:pt>
                <c:pt idx="1">
                  <c:v>1.4237870000000001</c:v>
                </c:pt>
                <c:pt idx="2">
                  <c:v>1.1989730000000001</c:v>
                </c:pt>
                <c:pt idx="3">
                  <c:v>1.1094029999999999</c:v>
                </c:pt>
                <c:pt idx="4">
                  <c:v>1.094452</c:v>
                </c:pt>
                <c:pt idx="5">
                  <c:v>1.1520380000000001</c:v>
                </c:pt>
                <c:pt idx="6">
                  <c:v>1.3386450000000001</c:v>
                </c:pt>
                <c:pt idx="7">
                  <c:v>1.4273820000000002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0-43E7-9526-AD7D2762449C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execution time computation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Sheet1!$C$2:$C$9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Sheet1!$F$2:$F$9</c:f>
              <c:numCache>
                <c:formatCode>General</c:formatCode>
                <c:ptCount val="8"/>
                <c:pt idx="0">
                  <c:v>0.56087900000000002</c:v>
                </c:pt>
                <c:pt idx="1">
                  <c:v>0.142485</c:v>
                </c:pt>
                <c:pt idx="2">
                  <c:v>7.0116999999999999E-2</c:v>
                </c:pt>
                <c:pt idx="3">
                  <c:v>3.5591999999999999E-2</c:v>
                </c:pt>
                <c:pt idx="4">
                  <c:v>1.9845000000000002E-2</c:v>
                </c:pt>
                <c:pt idx="5">
                  <c:v>1.1912000000000001E-2</c:v>
                </c:pt>
                <c:pt idx="6">
                  <c:v>6.1079999999999997E-3</c:v>
                </c:pt>
                <c:pt idx="7">
                  <c:v>4.5599999999999998E-3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60-43E7-9526-AD7D27624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9599039"/>
        <c:axId val="839599999"/>
      </c:barChart>
      <c:catAx>
        <c:axId val="83959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9599999"/>
        <c:crosses val="autoZero"/>
        <c:auto val="1"/>
        <c:lblAlgn val="ctr"/>
        <c:lblOffset val="100"/>
        <c:noMultiLvlLbl val="0"/>
      </c:catAx>
      <c:valAx>
        <c:axId val="83959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959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RTT</a:t>
            </a:r>
            <a:r>
              <a:rPr lang="it-IT" baseline="0"/>
              <a:t> </a:t>
            </a:r>
            <a:r>
              <a:rPr lang="it-IT" sz="1400" b="0" i="0" u="none" strike="noStrike" baseline="0">
                <a:effectLst/>
              </a:rPr>
              <a:t>ship_001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Sheet1!$E$33</c:f>
              <c:strCache>
                <c:ptCount val="1"/>
                <c:pt idx="0">
                  <c:v>ex time communication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Sheet1!$C$34:$C$41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Sheet1!$E$34:$E$41</c:f>
              <c:numCache>
                <c:formatCode>General</c:formatCode>
                <c:ptCount val="8"/>
                <c:pt idx="0">
                  <c:v>5.2750999999999999E-2</c:v>
                </c:pt>
                <c:pt idx="1">
                  <c:v>2.6449999999999998E-2</c:v>
                </c:pt>
                <c:pt idx="2">
                  <c:v>2.4664999999999999E-2</c:v>
                </c:pt>
                <c:pt idx="3">
                  <c:v>2.4582E-2</c:v>
                </c:pt>
                <c:pt idx="4">
                  <c:v>2.4120000000000003E-2</c:v>
                </c:pt>
                <c:pt idx="5">
                  <c:v>2.5558999999999998E-2</c:v>
                </c:pt>
                <c:pt idx="6">
                  <c:v>3.9654000000000002E-2</c:v>
                </c:pt>
                <c:pt idx="7">
                  <c:v>5.6771000000000002E-2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A-4DFE-8115-CBC6A30C9A23}"/>
            </c:ext>
          </c:extLst>
        </c:ser>
        <c:ser>
          <c:idx val="1"/>
          <c:order val="1"/>
          <c:tx>
            <c:strRef>
              <c:f>Sheet1!$F$33</c:f>
              <c:strCache>
                <c:ptCount val="1"/>
                <c:pt idx="0">
                  <c:v>ex time computation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Sheet1!$C$34:$C$41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Sheet1!$F$34:$F$41</c:f>
              <c:numCache>
                <c:formatCode>General</c:formatCode>
                <c:ptCount val="8"/>
                <c:pt idx="0">
                  <c:v>7.8340000000000007E-3</c:v>
                </c:pt>
                <c:pt idx="1">
                  <c:v>2.3530000000000001E-3</c:v>
                </c:pt>
                <c:pt idx="2">
                  <c:v>1.2260000000000001E-3</c:v>
                </c:pt>
                <c:pt idx="3">
                  <c:v>6.7100000000000005E-4</c:v>
                </c:pt>
                <c:pt idx="4">
                  <c:v>4.7399999999999997E-4</c:v>
                </c:pt>
                <c:pt idx="5">
                  <c:v>2.7399999999999999E-4</c:v>
                </c:pt>
                <c:pt idx="6">
                  <c:v>1.8599999999999999E-4</c:v>
                </c:pt>
                <c:pt idx="7">
                  <c:v>8.2000000000000001E-5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9A-4DFE-8115-CBC6A30C9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9582719"/>
        <c:axId val="839583199"/>
      </c:barChart>
      <c:catAx>
        <c:axId val="83958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9583199"/>
        <c:crosses val="autoZero"/>
        <c:auto val="1"/>
        <c:lblAlgn val="ctr"/>
        <c:lblOffset val="100"/>
        <c:noMultiLvlLbl val="0"/>
      </c:catAx>
      <c:valAx>
        <c:axId val="83958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958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weak scaling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Sheet1!$I$48</c:f>
              <c:strCache>
                <c:ptCount val="1"/>
                <c:pt idx="0">
                  <c:v>ex time computation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Sheet1!$F$49:$F$56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Sheet1!$I$49:$I$56</c:f>
              <c:numCache>
                <c:formatCode>General</c:formatCode>
                <c:ptCount val="8"/>
                <c:pt idx="0">
                  <c:v>1.7210000000000001E-3</c:v>
                </c:pt>
                <c:pt idx="1">
                  <c:v>1.931E-3</c:v>
                </c:pt>
                <c:pt idx="2">
                  <c:v>2.068E-3</c:v>
                </c:pt>
                <c:pt idx="3">
                  <c:v>2.823E-3</c:v>
                </c:pt>
                <c:pt idx="4">
                  <c:v>4.2820000000000002E-3</c:v>
                </c:pt>
                <c:pt idx="5">
                  <c:v>1.1013999999999999E-2</c:v>
                </c:pt>
                <c:pt idx="6">
                  <c:v>1.2801E-2</c:v>
                </c:pt>
                <c:pt idx="7">
                  <c:v>4.1605000000000003E-2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1-4CEA-AADE-20F623005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2471168"/>
        <c:axId val="1162463488"/>
      </c:barChart>
      <c:lineChart>
        <c:grouping val="standard"/>
        <c:varyColors val="0"/>
        <c:ser>
          <c:idx val="1"/>
          <c:order val="1"/>
          <c:tx>
            <c:strRef>
              <c:f>Sheet1!$J$48</c:f>
              <c:strCache>
                <c:ptCount val="1"/>
                <c:pt idx="0">
                  <c:v>efficiency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Sheet1!$J$49:$J$56</c:f>
              <c:numCache>
                <c:formatCode>General</c:formatCode>
                <c:ptCount val="8"/>
                <c:pt idx="0">
                  <c:v>0.89124805800103579</c:v>
                </c:pt>
                <c:pt idx="1">
                  <c:v>0.83220502901353977</c:v>
                </c:pt>
                <c:pt idx="2">
                  <c:v>0.83220502901353977</c:v>
                </c:pt>
                <c:pt idx="3">
                  <c:v>0.60963513992206875</c:v>
                </c:pt>
                <c:pt idx="4">
                  <c:v>0.40191499299392808</c:v>
                </c:pt>
                <c:pt idx="5">
                  <c:v>0.15625567459596879</c:v>
                </c:pt>
                <c:pt idx="6">
                  <c:v>0.13444262167018203</c:v>
                </c:pt>
                <c:pt idx="7">
                  <c:v>4.1365220526379039E-2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A1-4CEA-AADE-20F623005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2464928"/>
        <c:axId val="1162464448"/>
      </c:lineChart>
      <c:catAx>
        <c:axId val="116247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463488"/>
        <c:crosses val="autoZero"/>
        <c:auto val="1"/>
        <c:lblAlgn val="ctr"/>
        <c:lblOffset val="100"/>
        <c:noMultiLvlLbl val="0"/>
      </c:catAx>
      <c:valAx>
        <c:axId val="116246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471168"/>
        <c:crosses val="autoZero"/>
        <c:crossBetween val="between"/>
      </c:valAx>
      <c:valAx>
        <c:axId val="116246444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464928"/>
        <c:crosses val="max"/>
        <c:crossBetween val="between"/>
      </c:valAx>
      <c:catAx>
        <c:axId val="1162464928"/>
        <c:scaling>
          <c:orientation val="minMax"/>
        </c:scaling>
        <c:delete val="1"/>
        <c:axPos val="b"/>
        <c:majorTickMark val="none"/>
        <c:minorTickMark val="none"/>
        <c:tickLblPos val="nextTo"/>
        <c:crossAx val="1162464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speedup </a:t>
            </a:r>
            <a:r>
              <a:rPr lang="it-IT" sz="1400" b="0" i="0" u="none" strike="noStrike" baseline="0">
                <a:effectLst/>
              </a:rPr>
              <a:t>Spielman_k500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Sheet1!$C$2:$C$9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Sheet1!$G$2:$G$9</c:f>
              <c:numCache>
                <c:formatCode>General</c:formatCode>
                <c:ptCount val="8"/>
                <c:pt idx="0">
                  <c:v>1</c:v>
                </c:pt>
                <c:pt idx="1">
                  <c:v>1.9875896396028276</c:v>
                </c:pt>
                <c:pt idx="2">
                  <c:v>2.4530222442852754</c:v>
                </c:pt>
                <c:pt idx="3">
                  <c:v>2.7188817418416678</c:v>
                </c:pt>
                <c:pt idx="4">
                  <c:v>2.7937847808977319</c:v>
                </c:pt>
                <c:pt idx="5">
                  <c:v>2.6746045792345035</c:v>
                </c:pt>
                <c:pt idx="6">
                  <c:v>2.3150020858849172</c:v>
                </c:pt>
                <c:pt idx="7">
                  <c:v>2.1740447587960965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1F-4835-945E-BFC096B67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376608"/>
        <c:axId val="1162380928"/>
      </c:lineChart>
      <c:catAx>
        <c:axId val="116237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380928"/>
        <c:crosses val="autoZero"/>
        <c:auto val="1"/>
        <c:lblAlgn val="ctr"/>
        <c:lblOffset val="100"/>
        <c:noMultiLvlLbl val="0"/>
      </c:catAx>
      <c:valAx>
        <c:axId val="116238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37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speedup </a:t>
            </a:r>
            <a:r>
              <a:rPr lang="it-IT" sz="1400" b="0" i="0" u="none" strike="noStrike" baseline="0">
                <a:effectLst/>
              </a:rPr>
              <a:t>F1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Sheet1!$G$11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Sheet1!$C$12:$C$19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Sheet1!$G$12:$G$19</c:f>
              <c:numCache>
                <c:formatCode>General</c:formatCode>
                <c:ptCount val="8"/>
                <c:pt idx="0">
                  <c:v>1</c:v>
                </c:pt>
                <c:pt idx="1">
                  <c:v>1.9407168262117755</c:v>
                </c:pt>
                <c:pt idx="2">
                  <c:v>2.4969146502114681</c:v>
                </c:pt>
                <c:pt idx="3">
                  <c:v>2.9055522957312605</c:v>
                </c:pt>
                <c:pt idx="4">
                  <c:v>2.9448413258896382</c:v>
                </c:pt>
                <c:pt idx="5">
                  <c:v>2.4784341449986238</c:v>
                </c:pt>
                <c:pt idx="6">
                  <c:v>2.1328397986378445</c:v>
                </c:pt>
                <c:pt idx="7">
                  <c:v>1.9256603700210968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2A-489C-AFFC-0420C50B5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863568"/>
        <c:axId val="622864528"/>
      </c:lineChart>
      <c:catAx>
        <c:axId val="62286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2864528"/>
        <c:crosses val="autoZero"/>
        <c:auto val="1"/>
        <c:lblAlgn val="ctr"/>
        <c:lblOffset val="100"/>
        <c:noMultiLvlLbl val="0"/>
      </c:catAx>
      <c:valAx>
        <c:axId val="62286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286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speedup </a:t>
            </a:r>
            <a:r>
              <a:rPr lang="it-IT" sz="1400" b="0" i="0" u="none" strike="noStrike" baseline="0">
                <a:effectLst/>
              </a:rPr>
              <a:t>cage15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Sheet1!$G$22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Sheet1!$C$23:$C$30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Sheet1!$G$23:$G$30</c:f>
              <c:numCache>
                <c:formatCode>General</c:formatCode>
                <c:ptCount val="8"/>
                <c:pt idx="0">
                  <c:v>1</c:v>
                </c:pt>
                <c:pt idx="1">
                  <c:v>1.8739901845237741</c:v>
                </c:pt>
                <c:pt idx="2">
                  <c:v>2.3360921856640222</c:v>
                </c:pt>
                <c:pt idx="3">
                  <c:v>2.6358639299061184</c:v>
                </c:pt>
                <c:pt idx="4">
                  <c:v>2.7372579785400601</c:v>
                </c:pt>
                <c:pt idx="5">
                  <c:v>2.6320028083121563</c:v>
                </c:pt>
                <c:pt idx="6">
                  <c:v>2.2335505492459506</c:v>
                </c:pt>
                <c:pt idx="7">
                  <c:v>2.0747105204670531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F5-4F07-BB8F-9FC70BA7E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795584"/>
        <c:axId val="1177789824"/>
      </c:lineChart>
      <c:catAx>
        <c:axId val="117779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7789824"/>
        <c:crosses val="autoZero"/>
        <c:auto val="1"/>
        <c:lblAlgn val="ctr"/>
        <c:lblOffset val="100"/>
        <c:noMultiLvlLbl val="0"/>
      </c:catAx>
      <c:valAx>
        <c:axId val="117778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779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speedup </a:t>
            </a:r>
            <a:r>
              <a:rPr lang="it-IT" sz="1400" b="0" i="0" u="none" strike="noStrike" baseline="0">
                <a:effectLst/>
              </a:rPr>
              <a:t>ship_001 </a:t>
            </a:r>
            <a:r>
              <a:rPr lang="it-IT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Sheet1!$G$33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Sheet1!$C$34:$C$41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Sheet1!$G$34:$G$41</c:f>
              <c:numCache>
                <c:formatCode>General</c:formatCode>
                <c:ptCount val="8"/>
                <c:pt idx="0">
                  <c:v>1</c:v>
                </c:pt>
                <c:pt idx="1">
                  <c:v>2.1034267263826685</c:v>
                </c:pt>
                <c:pt idx="2">
                  <c:v>2.3400023174075932</c:v>
                </c:pt>
                <c:pt idx="3">
                  <c:v>2.3991208965271453</c:v>
                </c:pt>
                <c:pt idx="4">
                  <c:v>2.4634057087094412</c:v>
                </c:pt>
                <c:pt idx="5">
                  <c:v>2.3452560678202299</c:v>
                </c:pt>
                <c:pt idx="6">
                  <c:v>1.5207078313253013</c:v>
                </c:pt>
                <c:pt idx="7">
                  <c:v>1.0656429739855418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07-4D41-98D9-69C05DBFB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2404448"/>
        <c:axId val="1162404928"/>
      </c:lineChart>
      <c:catAx>
        <c:axId val="116240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404928"/>
        <c:crosses val="autoZero"/>
        <c:auto val="1"/>
        <c:lblAlgn val="ctr"/>
        <c:lblOffset val="100"/>
        <c:noMultiLvlLbl val="0"/>
      </c:catAx>
      <c:valAx>
        <c:axId val="116240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240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</a:t>
            </a:r>
            <a:r>
              <a:rPr lang="it-IT"/>
              <a:t>Spielman_k500 </a:t>
            </a:r>
            <a:r>
              <a:rPr lang="en-US"/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efficiency per rank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Sheet1!$C$2:$C$9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Sheet1!$J$2:$J$9</c:f>
              <c:numCache>
                <c:formatCode>General</c:formatCode>
                <c:ptCount val="8"/>
                <c:pt idx="0">
                  <c:v>1</c:v>
                </c:pt>
                <c:pt idx="1">
                  <c:v>0.98410183528090678</c:v>
                </c:pt>
                <c:pt idx="2">
                  <c:v>0.99989838412938381</c:v>
                </c:pt>
                <c:pt idx="3">
                  <c:v>0.98491058383906505</c:v>
                </c:pt>
                <c:pt idx="4">
                  <c:v>0.88321837994457042</c:v>
                </c:pt>
                <c:pt idx="5">
                  <c:v>0.73570637802216254</c:v>
                </c:pt>
                <c:pt idx="6">
                  <c:v>0.71739803331696139</c:v>
                </c:pt>
                <c:pt idx="7">
                  <c:v>0.48046789336622808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7-4CAF-B84D-64AE8CEEF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860208"/>
        <c:axId val="622869328"/>
      </c:lineChart>
      <c:catAx>
        <c:axId val="62286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2869328"/>
        <c:crosses val="autoZero"/>
        <c:auto val="1"/>
        <c:lblAlgn val="ctr"/>
        <c:lblOffset val="100"/>
        <c:noMultiLvlLbl val="0"/>
      </c:catAx>
      <c:valAx>
        <c:axId val="62286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286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efficiency F1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Sheet1!$J$11</c:f>
              <c:strCache>
                <c:ptCount val="1"/>
                <c:pt idx="0">
                  <c:v>efficiency per rank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Sheet1!$C$12:$C$19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Sheet1!$J$12:$J$19</c:f>
              <c:numCache>
                <c:formatCode>General</c:formatCode>
                <c:ptCount val="8"/>
                <c:pt idx="0">
                  <c:v>1</c:v>
                </c:pt>
                <c:pt idx="1">
                  <c:v>0.5456675983659427</c:v>
                </c:pt>
                <c:pt idx="2">
                  <c:v>0.48794508959470889</c:v>
                </c:pt>
                <c:pt idx="3">
                  <c:v>0.53551232275489535</c:v>
                </c:pt>
                <c:pt idx="4">
                  <c:v>0.43660542251582712</c:v>
                </c:pt>
                <c:pt idx="5">
                  <c:v>0.21716696330777654</c:v>
                </c:pt>
                <c:pt idx="6">
                  <c:v>0.26054328186596581</c:v>
                </c:pt>
                <c:pt idx="7">
                  <c:v>0.12178958077395576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71-4E1A-A079-0B6476903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250032"/>
        <c:axId val="1723250512"/>
      </c:lineChart>
      <c:catAx>
        <c:axId val="172325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3250512"/>
        <c:crosses val="autoZero"/>
        <c:auto val="1"/>
        <c:lblAlgn val="ctr"/>
        <c:lblOffset val="100"/>
        <c:noMultiLvlLbl val="0"/>
      </c:catAx>
      <c:valAx>
        <c:axId val="172325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2325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</a:t>
            </a:r>
            <a:r>
              <a:rPr lang="it-IT" sz="1400" b="0" i="0" u="none" strike="noStrike" baseline="0">
                <a:effectLst/>
              </a:rPr>
              <a:t>cage15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Sheet1!$J$22</c:f>
              <c:strCache>
                <c:ptCount val="1"/>
                <c:pt idx="0">
                  <c:v>efficiency per rank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Sheet1!$C$23:$C$30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Sheet1!$J$23:$J$30</c:f>
              <c:numCache>
                <c:formatCode>General</c:formatCode>
                <c:ptCount val="8"/>
                <c:pt idx="0">
                  <c:v>1</c:v>
                </c:pt>
                <c:pt idx="1">
                  <c:v>0.81354781451076108</c:v>
                </c:pt>
                <c:pt idx="2">
                  <c:v>0.78018026452414591</c:v>
                </c:pt>
                <c:pt idx="3">
                  <c:v>0.6873612777444511</c:v>
                </c:pt>
                <c:pt idx="4">
                  <c:v>0.6201056661976404</c:v>
                </c:pt>
                <c:pt idx="5">
                  <c:v>0.48424953511960106</c:v>
                </c:pt>
                <c:pt idx="6">
                  <c:v>0.42697542480250411</c:v>
                </c:pt>
                <c:pt idx="7">
                  <c:v>0.40701593137254899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F-4F3D-B59D-7CCD50D73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7390816"/>
        <c:axId val="1837387456"/>
      </c:lineChart>
      <c:catAx>
        <c:axId val="183739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37387456"/>
        <c:crosses val="autoZero"/>
        <c:auto val="1"/>
        <c:lblAlgn val="ctr"/>
        <c:lblOffset val="100"/>
        <c:noMultiLvlLbl val="0"/>
      </c:catAx>
      <c:valAx>
        <c:axId val="18373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3739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efficiency </a:t>
            </a:r>
            <a:r>
              <a:rPr lang="it-IT" sz="1400" b="0" i="0" u="none" strike="noStrike" baseline="0">
                <a:effectLst/>
              </a:rPr>
              <a:t>ship_001 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Sheet1!$J$33</c:f>
              <c:strCache>
                <c:ptCount val="1"/>
                <c:pt idx="0">
                  <c:v>efficiency per rank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Sheet1!$C$34:$C$41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Sheet1!$J$34:$J$41</c:f>
              <c:numCache>
                <c:formatCode>General</c:formatCode>
                <c:ptCount val="8"/>
                <c:pt idx="0">
                  <c:v>1</c:v>
                </c:pt>
                <c:pt idx="1">
                  <c:v>0.83234169145771364</c:v>
                </c:pt>
                <c:pt idx="2">
                  <c:v>0.79873572593800979</c:v>
                </c:pt>
                <c:pt idx="3">
                  <c:v>0.72969448584202679</c:v>
                </c:pt>
                <c:pt idx="4">
                  <c:v>0.51648206751054859</c:v>
                </c:pt>
                <c:pt idx="5">
                  <c:v>0.44673813868613144</c:v>
                </c:pt>
                <c:pt idx="6">
                  <c:v>0.32904905913978499</c:v>
                </c:pt>
                <c:pt idx="7">
                  <c:v>0.37318978658536589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1-4600-A2FE-C1A25A4D0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2216208"/>
        <c:axId val="1892220528"/>
      </c:lineChart>
      <c:catAx>
        <c:axId val="189221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2220528"/>
        <c:crosses val="autoZero"/>
        <c:auto val="1"/>
        <c:lblAlgn val="ctr"/>
        <c:lblOffset val="100"/>
        <c:noMultiLvlLbl val="0"/>
      </c:catAx>
      <c:valAx>
        <c:axId val="189222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221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559314</xdr:colOff>
      <xdr:row>64</xdr:row>
      <xdr:rowOff>38100</xdr:rowOff>
    </xdr:from>
    <xdr:to>
      <xdr:col>9</xdr:col>
      <xdr:colOff>368300</xdr:colOff>
      <xdr:row>78</xdr:row>
      <xdr:rowOff>155741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EC43A5-F491-2DCF-32F7-61DF59CD1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63500</xdr:colOff>
      <xdr:row>78</xdr:row>
      <xdr:rowOff>164478</xdr:rowOff>
    </xdr:from>
    <xdr:to>
      <xdr:col>5</xdr:col>
      <xdr:colOff>568877</xdr:colOff>
      <xdr:row>93</xdr:row>
      <xdr:rowOff>123447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7718FF-0556-56D3-DA3E-073CB4EF5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66377</xdr:colOff>
      <xdr:row>63</xdr:row>
      <xdr:rowOff>149434</xdr:rowOff>
    </xdr:from>
    <xdr:to>
      <xdr:col>5</xdr:col>
      <xdr:colOff>639104</xdr:colOff>
      <xdr:row>79</xdr:row>
      <xdr:rowOff>18037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8C0285-7C1A-1BED-E075-09C7D0AC8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571337</xdr:colOff>
      <xdr:row>78</xdr:row>
      <xdr:rowOff>169336</xdr:rowOff>
    </xdr:from>
    <xdr:to>
      <xdr:col>9</xdr:col>
      <xdr:colOff>380349</xdr:colOff>
      <xdr:row>94</xdr:row>
      <xdr:rowOff>35986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23C82F-B277-15B7-953F-21202696E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702198</xdr:colOff>
      <xdr:row>79</xdr:row>
      <xdr:rowOff>75011</xdr:rowOff>
    </xdr:from>
    <xdr:to>
      <xdr:col>16</xdr:col>
      <xdr:colOff>419375</xdr:colOff>
      <xdr:row>94</xdr:row>
      <xdr:rowOff>129861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9932E7-A8F8-9F8D-6326-634BF389F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1260762</xdr:colOff>
      <xdr:row>1</xdr:row>
      <xdr:rowOff>147571</xdr:rowOff>
    </xdr:from>
    <xdr:to>
      <xdr:col>20</xdr:col>
      <xdr:colOff>95386</xdr:colOff>
      <xdr:row>16</xdr:row>
      <xdr:rowOff>100349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CE04EF-2542-D622-5C80-E108F6C1E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1259201</xdr:colOff>
      <xdr:row>16</xdr:row>
      <xdr:rowOff>120271</xdr:rowOff>
    </xdr:from>
    <xdr:to>
      <xdr:col>20</xdr:col>
      <xdr:colOff>91516</xdr:colOff>
      <xdr:row>31</xdr:row>
      <xdr:rowOff>137443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E31903-A116-5CBB-9DEE-202611A3F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112318</xdr:colOff>
      <xdr:row>1</xdr:row>
      <xdr:rowOff>119399</xdr:rowOff>
    </xdr:from>
    <xdr:to>
      <xdr:col>27</xdr:col>
      <xdr:colOff>399946</xdr:colOff>
      <xdr:row>16</xdr:row>
      <xdr:rowOff>72177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EE71926-8BFE-D87B-F3B2-5822C6841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121455</xdr:colOff>
      <xdr:row>16</xdr:row>
      <xdr:rowOff>82103</xdr:rowOff>
    </xdr:from>
    <xdr:to>
      <xdr:col>27</xdr:col>
      <xdr:colOff>409083</xdr:colOff>
      <xdr:row>31</xdr:row>
      <xdr:rowOff>99275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80A920C-E25D-E7FD-F812-2BE13331A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778745</xdr:colOff>
      <xdr:row>35</xdr:row>
      <xdr:rowOff>143354</xdr:rowOff>
    </xdr:from>
    <xdr:to>
      <xdr:col>19</xdr:col>
      <xdr:colOff>229861</xdr:colOff>
      <xdr:row>50</xdr:row>
      <xdr:rowOff>63631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3823848-9C15-54B8-4E49-9CA224574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272481</xdr:colOff>
      <xdr:row>35</xdr:row>
      <xdr:rowOff>127000</xdr:rowOff>
    </xdr:from>
    <xdr:to>
      <xdr:col>26</xdr:col>
      <xdr:colOff>553327</xdr:colOff>
      <xdr:row>50</xdr:row>
      <xdr:rowOff>50543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47BAA5A-543E-AD67-28AB-A243B5C90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788918</xdr:colOff>
      <xdr:row>50</xdr:row>
      <xdr:rowOff>79019</xdr:rowOff>
    </xdr:from>
    <xdr:to>
      <xdr:col>19</xdr:col>
      <xdr:colOff>232518</xdr:colOff>
      <xdr:row>65</xdr:row>
      <xdr:rowOff>34415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6EBBF99-FF8C-0387-CE78-1B9F81FE7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267530</xdr:colOff>
      <xdr:row>50</xdr:row>
      <xdr:rowOff>63826</xdr:rowOff>
    </xdr:from>
    <xdr:to>
      <xdr:col>27</xdr:col>
      <xdr:colOff>49970</xdr:colOff>
      <xdr:row>65</xdr:row>
      <xdr:rowOff>128119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8DC7490-D8D9-1D89-F128-190CF44BF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45BD-D75D-4097-823A-BFC01058E0BF}">
  <dimension ref="A1:O56"/>
  <sheetViews>
    <sheetView tabSelected="1" topLeftCell="J1" zoomScale="73" zoomScaleNormal="90" workbookViewId="0">
      <selection activeCell="O1" sqref="O1"/>
    </sheetView>
  </sheetViews>
  <sheetFormatPr defaultRowHeight="14.4" x14ac:dyDescent="0.3"/>
  <cols>
    <col min="1" max="1" width="17" customWidth="1"/>
    <col min="2" max="2" width="15.6640625" bestFit="1" customWidth="1"/>
    <col min="3" max="3" width="16.21875" customWidth="1"/>
    <col min="4" max="4" width="18" style="1" customWidth="1"/>
    <col min="5" max="5" width="22" style="1" customWidth="1"/>
    <col min="6" max="6" width="26.44140625" customWidth="1"/>
    <col min="7" max="7" width="15.77734375" customWidth="1"/>
    <col min="8" max="8" width="23.6640625" customWidth="1"/>
    <col min="9" max="9" width="18.77734375" customWidth="1"/>
    <col min="10" max="10" width="17" customWidth="1"/>
    <col min="11" max="12" width="15.21875" customWidth="1"/>
    <col min="13" max="13" width="14.6640625" customWidth="1"/>
    <col min="14" max="14" width="8.5546875" customWidth="1"/>
    <col min="15" max="15" width="25.21875" customWidth="1"/>
    <col min="16" max="16" width="22.88671875" customWidth="1"/>
  </cols>
  <sheetData>
    <row r="1" spans="1:15" x14ac:dyDescent="0.3">
      <c r="A1" t="s">
        <v>0</v>
      </c>
      <c r="B1" t="s">
        <v>5</v>
      </c>
      <c r="C1" t="s">
        <v>1</v>
      </c>
      <c r="D1" s="1" t="s">
        <v>13</v>
      </c>
      <c r="E1" s="1" t="s">
        <v>21</v>
      </c>
      <c r="F1" t="s">
        <v>14</v>
      </c>
      <c r="G1" t="s">
        <v>12</v>
      </c>
      <c r="H1" s="1" t="s">
        <v>11</v>
      </c>
      <c r="I1" t="s">
        <v>2</v>
      </c>
      <c r="J1" t="s">
        <v>3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1:15" x14ac:dyDescent="0.3">
      <c r="A2" t="s">
        <v>4</v>
      </c>
      <c r="B2">
        <v>167419006</v>
      </c>
      <c r="C2">
        <v>1</v>
      </c>
      <c r="D2" s="1">
        <v>3.1131060000000002</v>
      </c>
      <c r="E2" s="1">
        <f>D2-F2</f>
        <v>2.5522270000000002</v>
      </c>
      <c r="F2">
        <v>0.56087900000000002</v>
      </c>
      <c r="G2">
        <f>D2/D2</f>
        <v>1</v>
      </c>
      <c r="H2" s="1">
        <v>1</v>
      </c>
      <c r="I2">
        <v>1</v>
      </c>
      <c r="J2" s="1">
        <v>1</v>
      </c>
      <c r="K2" s="1">
        <v>83709503</v>
      </c>
      <c r="L2" s="1">
        <v>83709503</v>
      </c>
      <c r="M2" s="1">
        <v>83709503</v>
      </c>
      <c r="N2">
        <v>1</v>
      </c>
    </row>
    <row r="3" spans="1:15" x14ac:dyDescent="0.3">
      <c r="B3" s="2">
        <f>B2/C3</f>
        <v>41854751.5</v>
      </c>
      <c r="C3">
        <v>4</v>
      </c>
      <c r="D3" s="1">
        <v>1.5662720000000001</v>
      </c>
      <c r="E3" s="1">
        <f t="shared" ref="E3:E9" si="0">D3-F3</f>
        <v>1.4237870000000001</v>
      </c>
      <c r="F3">
        <v>0.142485</v>
      </c>
      <c r="G3">
        <f>D2/D3</f>
        <v>1.9875896396028276</v>
      </c>
      <c r="H3" s="1">
        <f t="shared" ref="H3:H9" si="1">G3/C3</f>
        <v>0.49689740990070691</v>
      </c>
      <c r="I3">
        <f>F2/F3</f>
        <v>3.9364073411236271</v>
      </c>
      <c r="J3" s="1">
        <f t="shared" ref="J3:J9" si="2">I3/C3</f>
        <v>0.98410183528090678</v>
      </c>
      <c r="K3" s="1">
        <v>20917882</v>
      </c>
      <c r="L3" s="1">
        <v>20945863</v>
      </c>
      <c r="M3" s="1">
        <v>20927376</v>
      </c>
      <c r="N3">
        <v>1</v>
      </c>
    </row>
    <row r="4" spans="1:15" x14ac:dyDescent="0.3">
      <c r="A4" t="s">
        <v>6</v>
      </c>
      <c r="B4" s="2">
        <f>B2/C4</f>
        <v>20927375.75</v>
      </c>
      <c r="C4">
        <v>8</v>
      </c>
      <c r="D4" s="1">
        <v>1.2690900000000001</v>
      </c>
      <c r="E4" s="1">
        <f t="shared" si="0"/>
        <v>1.1989730000000001</v>
      </c>
      <c r="F4">
        <v>7.0116999999999999E-2</v>
      </c>
      <c r="G4">
        <f>D2/D4</f>
        <v>2.4530222442852754</v>
      </c>
      <c r="H4" s="1">
        <f>G4/C4</f>
        <v>0.30662778053565942</v>
      </c>
      <c r="I4">
        <f>F2/F4</f>
        <v>7.9991870730350705</v>
      </c>
      <c r="J4" s="1">
        <f>I4/C4</f>
        <v>0.99989838412938381</v>
      </c>
      <c r="K4" s="1">
        <v>10458680</v>
      </c>
      <c r="L4" s="1">
        <v>10479437</v>
      </c>
      <c r="M4" s="1">
        <v>10463688</v>
      </c>
      <c r="N4">
        <v>1</v>
      </c>
    </row>
    <row r="5" spans="1:15" x14ac:dyDescent="0.3">
      <c r="A5" t="s">
        <v>7</v>
      </c>
      <c r="B5" s="2">
        <f>B2/C5</f>
        <v>10463687.875</v>
      </c>
      <c r="C5">
        <v>16</v>
      </c>
      <c r="D5" s="1">
        <v>1.144995</v>
      </c>
      <c r="E5" s="1">
        <f t="shared" si="0"/>
        <v>1.1094029999999999</v>
      </c>
      <c r="F5">
        <v>3.5591999999999999E-2</v>
      </c>
      <c r="G5">
        <f>D2/D5</f>
        <v>2.7188817418416678</v>
      </c>
      <c r="H5" s="1">
        <f t="shared" si="1"/>
        <v>0.16993010886510423</v>
      </c>
      <c r="I5">
        <f>F2/F5</f>
        <v>15.758569341425041</v>
      </c>
      <c r="J5" s="1">
        <f t="shared" si="2"/>
        <v>0.98491058383906505</v>
      </c>
      <c r="K5" s="1">
        <v>5229281</v>
      </c>
      <c r="L5" s="1">
        <v>5243825</v>
      </c>
      <c r="M5" s="1">
        <v>5231844</v>
      </c>
      <c r="N5" s="1">
        <v>1</v>
      </c>
    </row>
    <row r="6" spans="1:15" x14ac:dyDescent="0.3">
      <c r="A6" t="s">
        <v>8</v>
      </c>
      <c r="B6" s="2">
        <f>B2/C6</f>
        <v>5231843.9375</v>
      </c>
      <c r="C6">
        <v>32</v>
      </c>
      <c r="D6" s="1">
        <v>1.1142970000000001</v>
      </c>
      <c r="E6" s="1">
        <f t="shared" si="0"/>
        <v>1.094452</v>
      </c>
      <c r="F6">
        <v>1.9845000000000002E-2</v>
      </c>
      <c r="G6">
        <f>D2/D6</f>
        <v>2.7937847808977319</v>
      </c>
      <c r="H6" s="1">
        <f t="shared" si="1"/>
        <v>8.7305774403054121E-2</v>
      </c>
      <c r="I6">
        <f>F2/F6</f>
        <v>28.262988158226253</v>
      </c>
      <c r="J6" s="1">
        <f t="shared" si="2"/>
        <v>0.88321837994457042</v>
      </c>
      <c r="K6" s="1">
        <v>2614627</v>
      </c>
      <c r="L6" s="1">
        <v>2624504</v>
      </c>
      <c r="M6" s="1">
        <v>2615922</v>
      </c>
      <c r="N6" s="1">
        <v>1</v>
      </c>
    </row>
    <row r="7" spans="1:15" x14ac:dyDescent="0.3">
      <c r="A7" t="s">
        <v>7</v>
      </c>
      <c r="B7" s="2">
        <f>B2/C7</f>
        <v>2615921.96875</v>
      </c>
      <c r="C7">
        <v>64</v>
      </c>
      <c r="D7" s="1">
        <v>1.16395</v>
      </c>
      <c r="E7" s="1">
        <f>D7-F7</f>
        <v>1.1520380000000001</v>
      </c>
      <c r="F7">
        <v>1.1912000000000001E-2</v>
      </c>
      <c r="G7">
        <f>D2/D7</f>
        <v>2.6746045792345035</v>
      </c>
      <c r="H7" s="1">
        <f t="shared" si="1"/>
        <v>4.1790696550539116E-2</v>
      </c>
      <c r="I7">
        <f>F2/F7</f>
        <v>47.085208193418403</v>
      </c>
      <c r="J7" s="1">
        <f t="shared" si="2"/>
        <v>0.73570637802216254</v>
      </c>
      <c r="K7" s="1">
        <v>1307310</v>
      </c>
      <c r="L7" s="1">
        <v>1313890</v>
      </c>
      <c r="M7" s="1">
        <v>1307961</v>
      </c>
      <c r="N7" s="1">
        <v>1</v>
      </c>
    </row>
    <row r="8" spans="1:15" x14ac:dyDescent="0.3">
      <c r="A8" t="s">
        <v>9</v>
      </c>
      <c r="B8" s="2">
        <f>B2/C8</f>
        <v>1307960.984375</v>
      </c>
      <c r="C8">
        <v>128</v>
      </c>
      <c r="D8" s="1">
        <v>1.3447530000000001</v>
      </c>
      <c r="E8" s="1">
        <f t="shared" si="0"/>
        <v>1.3386450000000001</v>
      </c>
      <c r="F8">
        <v>6.1079999999999997E-3</v>
      </c>
      <c r="G8">
        <f>D2/D8</f>
        <v>2.3150020858849172</v>
      </c>
      <c r="H8" s="1">
        <f t="shared" si="1"/>
        <v>1.8085953795975915E-2</v>
      </c>
      <c r="I8">
        <f>F2/F8</f>
        <v>91.826948264571058</v>
      </c>
      <c r="J8" s="1">
        <f t="shared" si="2"/>
        <v>0.71739803331696139</v>
      </c>
      <c r="K8" s="1">
        <v>653655</v>
      </c>
      <c r="L8" s="1">
        <v>657980</v>
      </c>
      <c r="M8" s="1">
        <v>653981</v>
      </c>
      <c r="N8">
        <v>1.01</v>
      </c>
    </row>
    <row r="9" spans="1:15" x14ac:dyDescent="0.3">
      <c r="A9" t="s">
        <v>10</v>
      </c>
      <c r="B9" s="3">
        <f>B2/C9</f>
        <v>653980.4921875</v>
      </c>
      <c r="C9">
        <v>256</v>
      </c>
      <c r="D9" s="1">
        <v>1.431942</v>
      </c>
      <c r="E9" s="1">
        <f t="shared" si="0"/>
        <v>1.4273820000000002</v>
      </c>
      <c r="F9">
        <v>4.5599999999999998E-3</v>
      </c>
      <c r="G9">
        <f>D2/D9</f>
        <v>2.1740447587960965</v>
      </c>
      <c r="H9" s="1">
        <f t="shared" si="1"/>
        <v>8.4923623390472519E-3</v>
      </c>
      <c r="I9">
        <f>F2/F9</f>
        <v>122.99978070175439</v>
      </c>
      <c r="J9" s="1">
        <f t="shared" si="2"/>
        <v>0.48046789336622808</v>
      </c>
      <c r="K9" s="1">
        <v>326827</v>
      </c>
      <c r="L9" s="1">
        <v>329645</v>
      </c>
      <c r="M9" s="1">
        <v>326990</v>
      </c>
      <c r="N9">
        <v>1.01</v>
      </c>
    </row>
    <row r="11" spans="1:15" ht="13.8" customHeight="1" x14ac:dyDescent="0.3">
      <c r="B11" t="s">
        <v>5</v>
      </c>
      <c r="C11" t="s">
        <v>16</v>
      </c>
      <c r="D11" s="1" t="s">
        <v>17</v>
      </c>
      <c r="E11" s="1" t="s">
        <v>21</v>
      </c>
      <c r="F11" s="1" t="s">
        <v>18</v>
      </c>
      <c r="G11" s="1" t="s">
        <v>12</v>
      </c>
      <c r="H11" s="1" t="s">
        <v>19</v>
      </c>
      <c r="I11" s="1" t="s">
        <v>2</v>
      </c>
      <c r="J11" s="1" t="s">
        <v>3</v>
      </c>
      <c r="K11" t="s">
        <v>25</v>
      </c>
      <c r="L11" t="s">
        <v>26</v>
      </c>
      <c r="M11" t="s">
        <v>27</v>
      </c>
      <c r="N11" t="s">
        <v>28</v>
      </c>
    </row>
    <row r="12" spans="1:15" ht="19.8" customHeight="1" x14ac:dyDescent="0.3">
      <c r="A12" s="4" t="s">
        <v>15</v>
      </c>
      <c r="B12">
        <v>27180904</v>
      </c>
      <c r="C12">
        <v>1</v>
      </c>
      <c r="D12" s="1">
        <v>0.39614300000000002</v>
      </c>
      <c r="E12" s="1">
        <f>D12-F12</f>
        <v>0.34538500000000005</v>
      </c>
      <c r="F12">
        <v>5.0757999999999998E-2</v>
      </c>
      <c r="G12">
        <f>D12/D12</f>
        <v>1</v>
      </c>
      <c r="H12" s="1">
        <v>1</v>
      </c>
      <c r="I12">
        <f>F12/F12</f>
        <v>1</v>
      </c>
      <c r="J12" s="1">
        <v>1</v>
      </c>
      <c r="K12">
        <v>13590452</v>
      </c>
      <c r="L12">
        <v>13590452</v>
      </c>
      <c r="M12">
        <v>13590452</v>
      </c>
      <c r="N12">
        <v>1</v>
      </c>
    </row>
    <row r="13" spans="1:15" x14ac:dyDescent="0.3">
      <c r="B13">
        <f>B12/C13</f>
        <v>6795226</v>
      </c>
      <c r="C13">
        <v>4</v>
      </c>
      <c r="D13" s="1">
        <v>0.204122</v>
      </c>
      <c r="E13" s="1">
        <f t="shared" ref="E13:E19" si="3">D13-F13</f>
        <v>0.180867</v>
      </c>
      <c r="F13">
        <v>2.3255000000000001E-2</v>
      </c>
      <c r="G13">
        <f>D12/D13</f>
        <v>1.9407168262117755</v>
      </c>
      <c r="H13" s="1">
        <f t="shared" ref="H13:H19" si="4">G13/C13</f>
        <v>0.48517920655294389</v>
      </c>
      <c r="I13">
        <f>F12/F13</f>
        <v>2.1826703934637708</v>
      </c>
      <c r="J13" s="1">
        <f t="shared" ref="J13:J19" si="5">I13/C13</f>
        <v>0.5456675983659427</v>
      </c>
      <c r="K13" s="1">
        <v>1623533</v>
      </c>
      <c r="L13" s="1">
        <v>4746618</v>
      </c>
      <c r="M13" s="1">
        <v>3397613</v>
      </c>
      <c r="N13" s="1">
        <v>1.4</v>
      </c>
    </row>
    <row r="14" spans="1:15" x14ac:dyDescent="0.3">
      <c r="A14" t="s">
        <v>6</v>
      </c>
      <c r="B14">
        <f>B12/C14</f>
        <v>3397613</v>
      </c>
      <c r="C14">
        <v>8</v>
      </c>
      <c r="D14" s="1">
        <v>0.15865299999999999</v>
      </c>
      <c r="E14" s="1">
        <f t="shared" si="3"/>
        <v>0.14565</v>
      </c>
      <c r="F14">
        <v>1.3003000000000001E-2</v>
      </c>
      <c r="G14">
        <f>D12/D14</f>
        <v>2.4969146502114681</v>
      </c>
      <c r="H14" s="1">
        <f t="shared" si="4"/>
        <v>0.31211433127643351</v>
      </c>
      <c r="I14">
        <f>F12/F14</f>
        <v>3.9035607167576711</v>
      </c>
      <c r="J14" s="1">
        <f t="shared" si="5"/>
        <v>0.48794508959470889</v>
      </c>
      <c r="K14" s="1">
        <v>645392</v>
      </c>
      <c r="L14" s="1">
        <v>2504106</v>
      </c>
      <c r="M14" s="1">
        <v>1698807</v>
      </c>
      <c r="N14" s="1">
        <v>1.47</v>
      </c>
    </row>
    <row r="15" spans="1:15" x14ac:dyDescent="0.3">
      <c r="A15" s="5">
        <v>343791</v>
      </c>
      <c r="B15" s="2">
        <f>B12/C15</f>
        <v>1698806.5</v>
      </c>
      <c r="C15">
        <v>16</v>
      </c>
      <c r="D15" s="1">
        <v>0.13633999999999999</v>
      </c>
      <c r="E15" s="1">
        <f t="shared" si="3"/>
        <v>0.13041599999999998</v>
      </c>
      <c r="F15">
        <v>5.9239999999999996E-3</v>
      </c>
      <c r="G15">
        <f>D12/D15</f>
        <v>2.9055522957312605</v>
      </c>
      <c r="H15" s="1">
        <f t="shared" si="4"/>
        <v>0.18159701848320378</v>
      </c>
      <c r="I15">
        <f>F12/F15</f>
        <v>8.5681971640783257</v>
      </c>
      <c r="J15" s="1">
        <f t="shared" si="5"/>
        <v>0.53551232275489535</v>
      </c>
      <c r="K15" s="1">
        <v>192637</v>
      </c>
      <c r="L15" s="1">
        <v>1270219</v>
      </c>
      <c r="M15" s="1">
        <v>849403</v>
      </c>
      <c r="N15" s="1">
        <v>1.5</v>
      </c>
    </row>
    <row r="16" spans="1:15" x14ac:dyDescent="0.3">
      <c r="A16" t="s">
        <v>8</v>
      </c>
      <c r="B16" s="2">
        <f>B12/C16</f>
        <v>849403.25</v>
      </c>
      <c r="C16">
        <v>32</v>
      </c>
      <c r="D16" s="1">
        <v>0.134521</v>
      </c>
      <c r="E16" s="1">
        <f t="shared" si="3"/>
        <v>0.130888</v>
      </c>
      <c r="F16">
        <v>3.6329999999999999E-3</v>
      </c>
      <c r="G16">
        <f>D12/D16</f>
        <v>2.9448413258896382</v>
      </c>
      <c r="H16" s="1">
        <f t="shared" si="4"/>
        <v>9.2026291434051194E-2</v>
      </c>
      <c r="I16">
        <f>F12/F16</f>
        <v>13.971373520506468</v>
      </c>
      <c r="J16" s="1">
        <f t="shared" si="5"/>
        <v>0.43660542251582712</v>
      </c>
      <c r="K16" s="1">
        <v>92858</v>
      </c>
      <c r="L16" s="1">
        <v>655080</v>
      </c>
      <c r="M16" s="1">
        <v>424702</v>
      </c>
      <c r="N16" s="1">
        <v>1.54</v>
      </c>
    </row>
    <row r="17" spans="1:15" x14ac:dyDescent="0.3">
      <c r="A17">
        <v>343791</v>
      </c>
      <c r="B17" s="2">
        <f>B12/C17</f>
        <v>424701.625</v>
      </c>
      <c r="C17">
        <v>64</v>
      </c>
      <c r="D17" s="1">
        <v>0.15983600000000001</v>
      </c>
      <c r="E17" s="1">
        <f t="shared" si="3"/>
        <v>0.15618400000000002</v>
      </c>
      <c r="F17">
        <v>3.6519999999999999E-3</v>
      </c>
      <c r="G17">
        <f>D12/D17</f>
        <v>2.4784341449986238</v>
      </c>
      <c r="H17" s="1">
        <f t="shared" si="4"/>
        <v>3.8725533515603497E-2</v>
      </c>
      <c r="I17">
        <f>F12/F17</f>
        <v>13.898685651697699</v>
      </c>
      <c r="J17" s="1">
        <f t="shared" si="5"/>
        <v>0.21716696330777654</v>
      </c>
      <c r="K17" s="1">
        <v>41837</v>
      </c>
      <c r="L17" s="1">
        <v>330608</v>
      </c>
      <c r="M17" s="1">
        <v>212351</v>
      </c>
      <c r="N17" s="1">
        <v>1.56</v>
      </c>
    </row>
    <row r="18" spans="1:15" x14ac:dyDescent="0.3">
      <c r="A18" t="s">
        <v>9</v>
      </c>
      <c r="B18" s="2">
        <f>B12/C18</f>
        <v>212350.8125</v>
      </c>
      <c r="C18">
        <v>128</v>
      </c>
      <c r="D18" s="1">
        <v>0.18573500000000001</v>
      </c>
      <c r="E18" s="1">
        <f t="shared" si="3"/>
        <v>0.18421300000000002</v>
      </c>
      <c r="F18">
        <v>1.5219999999999999E-3</v>
      </c>
      <c r="G18">
        <f>D12/D18</f>
        <v>2.1328397986378445</v>
      </c>
      <c r="H18" s="1">
        <f t="shared" si="4"/>
        <v>1.666281092685816E-2</v>
      </c>
      <c r="I18">
        <f>F12/F18</f>
        <v>33.349540078843624</v>
      </c>
      <c r="J18" s="1">
        <f t="shared" si="5"/>
        <v>0.26054328186596581</v>
      </c>
      <c r="K18" s="1">
        <v>16821</v>
      </c>
      <c r="L18" s="1">
        <v>167962</v>
      </c>
      <c r="M18" s="1">
        <v>106175</v>
      </c>
      <c r="N18" s="1">
        <v>1.58</v>
      </c>
    </row>
    <row r="19" spans="1:15" x14ac:dyDescent="0.3">
      <c r="A19">
        <v>13590452</v>
      </c>
      <c r="B19" s="2">
        <f>B12/C19</f>
        <v>106175.40625</v>
      </c>
      <c r="C19">
        <v>256</v>
      </c>
      <c r="D19" s="1">
        <v>0.20571800000000001</v>
      </c>
      <c r="E19" s="1">
        <f t="shared" si="3"/>
        <v>0.20409000000000002</v>
      </c>
      <c r="F19">
        <v>1.6280000000000001E-3</v>
      </c>
      <c r="G19">
        <f>D12/D19</f>
        <v>1.9256603700210968</v>
      </c>
      <c r="H19" s="1">
        <f t="shared" si="4"/>
        <v>7.5221108203949094E-3</v>
      </c>
      <c r="I19">
        <f>F12/F19</f>
        <v>31.178132678132673</v>
      </c>
      <c r="J19" s="1">
        <f t="shared" si="5"/>
        <v>0.12178958077395576</v>
      </c>
      <c r="K19" s="1">
        <v>4326</v>
      </c>
      <c r="L19" s="1">
        <v>83976</v>
      </c>
      <c r="M19" s="1">
        <v>53088</v>
      </c>
      <c r="N19" s="1">
        <v>1.58</v>
      </c>
    </row>
    <row r="22" spans="1:15" ht="13.8" customHeight="1" x14ac:dyDescent="0.3">
      <c r="B22" t="s">
        <v>5</v>
      </c>
      <c r="C22" t="s">
        <v>16</v>
      </c>
      <c r="D22" s="1" t="s">
        <v>17</v>
      </c>
      <c r="E22" s="1" t="s">
        <v>21</v>
      </c>
      <c r="F22" s="1" t="s">
        <v>18</v>
      </c>
      <c r="G22" s="1" t="s">
        <v>12</v>
      </c>
      <c r="H22" s="1" t="s">
        <v>19</v>
      </c>
      <c r="I22" s="1" t="s">
        <v>2</v>
      </c>
      <c r="J22" s="1" t="s">
        <v>3</v>
      </c>
      <c r="K22" t="s">
        <v>25</v>
      </c>
      <c r="L22" t="s">
        <v>26</v>
      </c>
      <c r="M22" t="s">
        <v>27</v>
      </c>
      <c r="N22" t="s">
        <v>28</v>
      </c>
    </row>
    <row r="23" spans="1:15" x14ac:dyDescent="0.3">
      <c r="A23" t="s">
        <v>20</v>
      </c>
      <c r="B23" s="2">
        <v>198399102</v>
      </c>
      <c r="C23">
        <v>1</v>
      </c>
      <c r="D23" s="1">
        <v>2.8191540000000002</v>
      </c>
      <c r="E23" s="1">
        <f>D23-F23</f>
        <v>2.4524880000000002</v>
      </c>
      <c r="F23">
        <v>0.36666599999999999</v>
      </c>
      <c r="G23">
        <f>D23/D23</f>
        <v>1</v>
      </c>
      <c r="H23" s="1">
        <f t="shared" ref="H23:H30" si="6">G23/C23</f>
        <v>1</v>
      </c>
      <c r="I23">
        <f>F23/F23</f>
        <v>1</v>
      </c>
      <c r="J23" s="1">
        <v>1</v>
      </c>
      <c r="K23" s="1">
        <v>99199551</v>
      </c>
      <c r="L23" s="1">
        <v>99199551</v>
      </c>
      <c r="M23" s="1">
        <v>99199551</v>
      </c>
      <c r="N23" s="1">
        <v>1</v>
      </c>
    </row>
    <row r="24" spans="1:15" x14ac:dyDescent="0.3">
      <c r="B24" s="2">
        <f>B23/C24</f>
        <v>49599775.5</v>
      </c>
      <c r="C24">
        <v>4</v>
      </c>
      <c r="D24" s="1">
        <v>1.504359</v>
      </c>
      <c r="E24" s="1">
        <f t="shared" ref="E24:E30" si="7">D24-F24</f>
        <v>1.3916839999999999</v>
      </c>
      <c r="F24">
        <v>0.112675</v>
      </c>
      <c r="G24">
        <f>D23/D24</f>
        <v>1.8739901845237741</v>
      </c>
      <c r="H24" s="1">
        <f t="shared" si="6"/>
        <v>0.46849754613094352</v>
      </c>
      <c r="I24">
        <f>F23/F24</f>
        <v>3.2541912580430443</v>
      </c>
      <c r="J24" s="1">
        <f t="shared" ref="J24:J30" si="8">I24/C24</f>
        <v>0.81354781451076108</v>
      </c>
      <c r="K24" s="1">
        <v>19291564</v>
      </c>
      <c r="L24" s="1">
        <v>29808764</v>
      </c>
      <c r="M24" s="1">
        <v>24799888</v>
      </c>
      <c r="N24">
        <v>1.2</v>
      </c>
    </row>
    <row r="25" spans="1:15" x14ac:dyDescent="0.3">
      <c r="A25" t="s">
        <v>6</v>
      </c>
      <c r="B25" s="2">
        <f>B23/C25</f>
        <v>24799887.75</v>
      </c>
      <c r="C25">
        <v>8</v>
      </c>
      <c r="D25" s="1">
        <v>1.206782</v>
      </c>
      <c r="E25" s="1">
        <f t="shared" si="7"/>
        <v>1.1480349999999999</v>
      </c>
      <c r="F25">
        <v>5.8747000000000001E-2</v>
      </c>
      <c r="G25">
        <f>D23/D25</f>
        <v>2.3360921856640222</v>
      </c>
      <c r="H25" s="1">
        <f t="shared" si="6"/>
        <v>0.29201152320800278</v>
      </c>
      <c r="I25">
        <f>F23/F25</f>
        <v>6.2414421161931672</v>
      </c>
      <c r="J25" s="1">
        <f t="shared" si="8"/>
        <v>0.78018026452414591</v>
      </c>
      <c r="K25" s="1">
        <v>8718004</v>
      </c>
      <c r="L25" s="1">
        <v>15693066</v>
      </c>
      <c r="M25" s="1">
        <v>12399944</v>
      </c>
      <c r="N25" s="1">
        <v>1.27</v>
      </c>
      <c r="O25" s="1"/>
    </row>
    <row r="26" spans="1:15" x14ac:dyDescent="0.3">
      <c r="A26" s="5">
        <v>5154859</v>
      </c>
      <c r="B26" s="2">
        <f>B23/C26</f>
        <v>12399943.875</v>
      </c>
      <c r="C26">
        <v>16</v>
      </c>
      <c r="D26" s="1">
        <v>1.069537</v>
      </c>
      <c r="E26" s="1">
        <f t="shared" si="7"/>
        <v>1.036197</v>
      </c>
      <c r="F26">
        <v>3.3340000000000002E-2</v>
      </c>
      <c r="G26">
        <f>D23/D26</f>
        <v>2.6358639299061184</v>
      </c>
      <c r="H26" s="1">
        <f t="shared" si="6"/>
        <v>0.1647414956191324</v>
      </c>
      <c r="I26">
        <f>F23/F26</f>
        <v>10.997780443911218</v>
      </c>
      <c r="J26" s="1">
        <f t="shared" si="8"/>
        <v>0.6873612777444511</v>
      </c>
      <c r="K26" s="1">
        <v>3789523</v>
      </c>
      <c r="L26" s="1">
        <v>8220818</v>
      </c>
      <c r="M26" s="1">
        <v>6199972</v>
      </c>
      <c r="N26">
        <v>1.33</v>
      </c>
    </row>
    <row r="27" spans="1:15" x14ac:dyDescent="0.3">
      <c r="A27" t="s">
        <v>8</v>
      </c>
      <c r="B27" s="2">
        <f>B23/C27</f>
        <v>6199971.9375</v>
      </c>
      <c r="C27">
        <v>32</v>
      </c>
      <c r="D27" s="1">
        <v>1.029919</v>
      </c>
      <c r="E27" s="1">
        <f t="shared" si="7"/>
        <v>1.011441</v>
      </c>
      <c r="F27">
        <v>1.8478000000000001E-2</v>
      </c>
      <c r="G27">
        <f>D23/D27</f>
        <v>2.7372579785400601</v>
      </c>
      <c r="H27" s="1">
        <f t="shared" si="6"/>
        <v>8.5539311829376879E-2</v>
      </c>
      <c r="I27">
        <f>F23/F27</f>
        <v>19.843381318324493</v>
      </c>
      <c r="J27" s="1">
        <f t="shared" si="8"/>
        <v>0.6201056661976404</v>
      </c>
      <c r="K27" s="1">
        <v>1623351</v>
      </c>
      <c r="L27" s="1">
        <v>4324980</v>
      </c>
      <c r="M27" s="1">
        <v>3099986</v>
      </c>
      <c r="N27">
        <v>1.4</v>
      </c>
    </row>
    <row r="28" spans="1:15" x14ac:dyDescent="0.3">
      <c r="A28">
        <v>5154859</v>
      </c>
      <c r="B28" s="2">
        <f>B23/C28</f>
        <v>3099985.96875</v>
      </c>
      <c r="C28">
        <v>64</v>
      </c>
      <c r="D28" s="1">
        <v>1.0711059999999999</v>
      </c>
      <c r="E28" s="1">
        <f t="shared" si="7"/>
        <v>1.059275</v>
      </c>
      <c r="F28" s="1">
        <v>1.1831E-2</v>
      </c>
      <c r="G28">
        <f>D23/D28</f>
        <v>2.6320028083121563</v>
      </c>
      <c r="H28" s="1">
        <f t="shared" si="6"/>
        <v>4.1125043879877442E-2</v>
      </c>
      <c r="I28">
        <f>F23/F28</f>
        <v>30.991970247654468</v>
      </c>
      <c r="J28" s="1">
        <f t="shared" si="8"/>
        <v>0.48424953511960106</v>
      </c>
      <c r="K28" s="1">
        <v>704301</v>
      </c>
      <c r="L28" s="1">
        <v>2264472</v>
      </c>
      <c r="M28" s="1">
        <v>1549993</v>
      </c>
      <c r="N28" s="1">
        <v>1.46</v>
      </c>
    </row>
    <row r="29" spans="1:15" x14ac:dyDescent="0.3">
      <c r="A29" t="s">
        <v>9</v>
      </c>
      <c r="B29" s="2">
        <f>B23/C29</f>
        <v>1549992.984375</v>
      </c>
      <c r="C29">
        <v>128</v>
      </c>
      <c r="D29" s="1">
        <v>1.2621849999999999</v>
      </c>
      <c r="E29" s="1">
        <f t="shared" si="7"/>
        <v>1.2554759999999998</v>
      </c>
      <c r="F29">
        <v>6.7089999999999997E-3</v>
      </c>
      <c r="G29">
        <f>D23/D29</f>
        <v>2.2335505492459506</v>
      </c>
      <c r="H29" s="1">
        <f t="shared" si="6"/>
        <v>1.7449613665983989E-2</v>
      </c>
      <c r="I29">
        <f>F23/F29</f>
        <v>54.652854374720526</v>
      </c>
      <c r="J29" s="1">
        <f t="shared" si="8"/>
        <v>0.42697542480250411</v>
      </c>
      <c r="K29" s="1">
        <v>311291</v>
      </c>
      <c r="L29" s="1">
        <v>1300317</v>
      </c>
      <c r="M29" s="1">
        <v>774997</v>
      </c>
      <c r="N29" s="1">
        <v>1.68</v>
      </c>
    </row>
    <row r="30" spans="1:15" x14ac:dyDescent="0.3">
      <c r="A30">
        <v>99199551</v>
      </c>
      <c r="B30" s="2">
        <f>B23/C30</f>
        <v>774996.4921875</v>
      </c>
      <c r="C30">
        <v>256</v>
      </c>
      <c r="D30" s="1">
        <v>1.3588180000000001</v>
      </c>
      <c r="E30" s="1">
        <f t="shared" si="7"/>
        <v>1.355299</v>
      </c>
      <c r="F30">
        <v>3.519E-3</v>
      </c>
      <c r="G30">
        <f>D23/D30</f>
        <v>2.0747105204670531</v>
      </c>
      <c r="H30" s="1">
        <f t="shared" si="6"/>
        <v>8.104337970574426E-3</v>
      </c>
      <c r="I30">
        <f>F23/F30</f>
        <v>104.19607843137254</v>
      </c>
      <c r="J30" s="1">
        <f t="shared" si="8"/>
        <v>0.40701593137254899</v>
      </c>
      <c r="K30" s="1">
        <v>129724</v>
      </c>
      <c r="L30" s="1">
        <v>667709</v>
      </c>
      <c r="M30" s="1">
        <v>387498</v>
      </c>
      <c r="N30" s="1">
        <v>1.72</v>
      </c>
    </row>
    <row r="33" spans="1:14" x14ac:dyDescent="0.3">
      <c r="B33" t="s">
        <v>5</v>
      </c>
      <c r="C33" t="s">
        <v>16</v>
      </c>
      <c r="D33" s="1" t="s">
        <v>17</v>
      </c>
      <c r="E33" s="1" t="s">
        <v>21</v>
      </c>
      <c r="F33" t="s">
        <v>18</v>
      </c>
      <c r="G33" t="s">
        <v>12</v>
      </c>
      <c r="H33" t="s">
        <v>19</v>
      </c>
      <c r="I33" t="s">
        <v>2</v>
      </c>
      <c r="J33" t="s">
        <v>3</v>
      </c>
      <c r="K33" t="s">
        <v>25</v>
      </c>
      <c r="L33" t="s">
        <v>26</v>
      </c>
      <c r="M33" t="s">
        <v>27</v>
      </c>
      <c r="N33" t="s">
        <v>28</v>
      </c>
    </row>
    <row r="34" spans="1:14" x14ac:dyDescent="0.3">
      <c r="A34" t="s">
        <v>22</v>
      </c>
      <c r="B34" s="2">
        <v>4679150</v>
      </c>
      <c r="C34">
        <v>1</v>
      </c>
      <c r="D34" s="1">
        <v>6.0585E-2</v>
      </c>
      <c r="E34" s="1">
        <f>D34-F34</f>
        <v>5.2750999999999999E-2</v>
      </c>
      <c r="F34">
        <v>7.8340000000000007E-3</v>
      </c>
      <c r="G34">
        <f>D34/D34</f>
        <v>1</v>
      </c>
      <c r="H34" s="1">
        <v>1</v>
      </c>
      <c r="I34">
        <v>1</v>
      </c>
      <c r="J34" s="1">
        <v>1</v>
      </c>
      <c r="K34">
        <v>2339575</v>
      </c>
      <c r="L34">
        <v>2339575</v>
      </c>
      <c r="M34">
        <v>2339575</v>
      </c>
      <c r="N34">
        <v>1</v>
      </c>
    </row>
    <row r="35" spans="1:14" x14ac:dyDescent="0.3">
      <c r="B35" s="2">
        <f>B34/C35</f>
        <v>1169787.5</v>
      </c>
      <c r="C35">
        <v>4</v>
      </c>
      <c r="D35" s="1">
        <v>2.8802999999999999E-2</v>
      </c>
      <c r="E35" s="1">
        <f t="shared" ref="E35:E41" si="9">D35-F35</f>
        <v>2.6449999999999998E-2</v>
      </c>
      <c r="F35">
        <v>2.3530000000000001E-3</v>
      </c>
      <c r="G35">
        <f>D34/D35</f>
        <v>2.1034267263826685</v>
      </c>
      <c r="H35" s="1">
        <f>G35/C35</f>
        <v>0.52585668159566712</v>
      </c>
      <c r="I35">
        <f>F34/F35</f>
        <v>3.3293667658308546</v>
      </c>
      <c r="J35" s="1">
        <f>I35/C35</f>
        <v>0.83234169145771364</v>
      </c>
      <c r="K35" s="1">
        <v>428098</v>
      </c>
      <c r="L35" s="1">
        <v>713481</v>
      </c>
      <c r="M35" s="1">
        <v>584894</v>
      </c>
      <c r="N35" s="1">
        <v>1.22</v>
      </c>
    </row>
    <row r="36" spans="1:14" x14ac:dyDescent="0.3">
      <c r="A36" t="s">
        <v>6</v>
      </c>
      <c r="B36" s="2">
        <f>B34/C36</f>
        <v>584893.75</v>
      </c>
      <c r="C36">
        <v>8</v>
      </c>
      <c r="D36" s="1">
        <v>2.5891000000000001E-2</v>
      </c>
      <c r="E36" s="1">
        <f t="shared" si="9"/>
        <v>2.4664999999999999E-2</v>
      </c>
      <c r="F36">
        <v>1.2260000000000001E-3</v>
      </c>
      <c r="G36">
        <f>D34/D36</f>
        <v>2.3400023174075932</v>
      </c>
      <c r="H36" s="1">
        <f>G36/C36</f>
        <v>0.29250028967594915</v>
      </c>
      <c r="I36">
        <f>F34/F36</f>
        <v>6.3898858075040783</v>
      </c>
      <c r="J36" s="1">
        <f t="shared" ref="J36:J41" si="10">I36/C36</f>
        <v>0.79873572593800979</v>
      </c>
      <c r="K36" s="1">
        <v>185677</v>
      </c>
      <c r="L36" s="1">
        <v>367389</v>
      </c>
      <c r="M36" s="1">
        <v>292447</v>
      </c>
      <c r="N36" s="1">
        <v>1.26</v>
      </c>
    </row>
    <row r="37" spans="1:14" x14ac:dyDescent="0.3">
      <c r="A37" s="5">
        <v>34920</v>
      </c>
      <c r="B37" s="2">
        <f>B34/C37</f>
        <v>292446.875</v>
      </c>
      <c r="C37">
        <v>16</v>
      </c>
      <c r="D37" s="1">
        <v>2.5253000000000001E-2</v>
      </c>
      <c r="E37" s="1">
        <f t="shared" si="9"/>
        <v>2.4582E-2</v>
      </c>
      <c r="F37">
        <v>6.7100000000000005E-4</v>
      </c>
      <c r="G37">
        <f>D34/D37</f>
        <v>2.3991208965271453</v>
      </c>
      <c r="H37" s="1">
        <f t="shared" ref="H37:H41" si="11">G37/C37</f>
        <v>0.14994505603294658</v>
      </c>
      <c r="I37">
        <f>F34/F37</f>
        <v>11.675111773472429</v>
      </c>
      <c r="J37" s="1">
        <f t="shared" si="10"/>
        <v>0.72969448584202679</v>
      </c>
      <c r="K37" s="1">
        <v>42666</v>
      </c>
      <c r="L37" s="1">
        <v>190953</v>
      </c>
      <c r="M37" s="1">
        <v>146223</v>
      </c>
      <c r="N37" s="1">
        <v>1.31</v>
      </c>
    </row>
    <row r="38" spans="1:14" x14ac:dyDescent="0.3">
      <c r="A38" t="s">
        <v>8</v>
      </c>
      <c r="B38" s="2">
        <f>B34/C38</f>
        <v>146223.4375</v>
      </c>
      <c r="C38">
        <v>32</v>
      </c>
      <c r="D38" s="1">
        <v>2.4594000000000001E-2</v>
      </c>
      <c r="E38" s="1">
        <f t="shared" si="9"/>
        <v>2.4120000000000003E-2</v>
      </c>
      <c r="F38">
        <v>4.7399999999999997E-4</v>
      </c>
      <c r="G38">
        <f>D34/D38</f>
        <v>2.4634057087094412</v>
      </c>
      <c r="H38" s="1">
        <f t="shared" si="11"/>
        <v>7.6981428397170037E-2</v>
      </c>
      <c r="I38">
        <f>F34/F38</f>
        <v>16.527426160337555</v>
      </c>
      <c r="J38" s="1">
        <f t="shared" si="10"/>
        <v>0.51648206751054859</v>
      </c>
      <c r="K38" s="1">
        <v>13758</v>
      </c>
      <c r="L38" s="1">
        <v>116763</v>
      </c>
      <c r="M38" s="1">
        <v>73112</v>
      </c>
      <c r="N38" s="1">
        <v>1.6</v>
      </c>
    </row>
    <row r="39" spans="1:14" x14ac:dyDescent="0.3">
      <c r="A39">
        <v>34920</v>
      </c>
      <c r="B39" s="2">
        <f>B34/C39</f>
        <v>73111.71875</v>
      </c>
      <c r="C39">
        <v>64</v>
      </c>
      <c r="D39" s="1">
        <v>2.5832999999999998E-2</v>
      </c>
      <c r="E39" s="1">
        <f t="shared" si="9"/>
        <v>2.5558999999999998E-2</v>
      </c>
      <c r="F39">
        <v>2.7399999999999999E-4</v>
      </c>
      <c r="G39">
        <f>D34/D39</f>
        <v>2.3452560678202299</v>
      </c>
      <c r="H39" s="1">
        <f t="shared" si="11"/>
        <v>3.6644626059691092E-2</v>
      </c>
      <c r="I39">
        <f>F34/F39</f>
        <v>28.591240875912412</v>
      </c>
      <c r="J39" s="1">
        <f t="shared" si="10"/>
        <v>0.44673813868613144</v>
      </c>
      <c r="K39" s="1">
        <v>6699</v>
      </c>
      <c r="L39" s="1">
        <v>58981</v>
      </c>
      <c r="M39" s="1">
        <v>36556</v>
      </c>
      <c r="N39" s="1">
        <v>1.61</v>
      </c>
    </row>
    <row r="40" spans="1:14" x14ac:dyDescent="0.3">
      <c r="A40" t="s">
        <v>9</v>
      </c>
      <c r="B40" s="2">
        <f>B34/C40</f>
        <v>36555.859375</v>
      </c>
      <c r="C40">
        <v>128</v>
      </c>
      <c r="D40" s="1">
        <v>3.984E-2</v>
      </c>
      <c r="E40" s="1">
        <f t="shared" si="9"/>
        <v>3.9654000000000002E-2</v>
      </c>
      <c r="F40">
        <v>1.8599999999999999E-4</v>
      </c>
      <c r="G40">
        <f>D34/D40</f>
        <v>1.5207078313253013</v>
      </c>
      <c r="H40" s="1">
        <f t="shared" si="11"/>
        <v>1.1880529932228916E-2</v>
      </c>
      <c r="I40">
        <f>F34/F40</f>
        <v>42.118279569892479</v>
      </c>
      <c r="J40" s="1">
        <f t="shared" si="10"/>
        <v>0.32904905913978499</v>
      </c>
      <c r="K40" s="1">
        <v>3291</v>
      </c>
      <c r="L40" s="1">
        <v>32156</v>
      </c>
      <c r="M40" s="1">
        <v>18278</v>
      </c>
      <c r="N40" s="1">
        <v>1.76</v>
      </c>
    </row>
    <row r="41" spans="1:14" x14ac:dyDescent="0.3">
      <c r="A41">
        <v>2339575</v>
      </c>
      <c r="B41" s="2">
        <f>B34/C41</f>
        <v>18277.9296875</v>
      </c>
      <c r="C41">
        <v>256</v>
      </c>
      <c r="D41" s="1">
        <v>5.6853000000000001E-2</v>
      </c>
      <c r="E41" s="1">
        <f t="shared" si="9"/>
        <v>5.6771000000000002E-2</v>
      </c>
      <c r="F41" s="1">
        <v>8.2000000000000001E-5</v>
      </c>
      <c r="G41">
        <f>D34/D41</f>
        <v>1.0656429739855418</v>
      </c>
      <c r="H41" s="1">
        <f t="shared" si="11"/>
        <v>4.1626678671310225E-3</v>
      </c>
      <c r="I41">
        <f>F34/F41</f>
        <v>95.536585365853668</v>
      </c>
      <c r="J41" s="1">
        <f t="shared" si="10"/>
        <v>0.37318978658536589</v>
      </c>
      <c r="K41" s="1">
        <v>1587</v>
      </c>
      <c r="L41" s="1">
        <v>16794</v>
      </c>
      <c r="M41" s="1">
        <v>9139</v>
      </c>
      <c r="N41" s="1">
        <v>1.84</v>
      </c>
    </row>
    <row r="48" spans="1:14" x14ac:dyDescent="0.3">
      <c r="A48" t="s">
        <v>24</v>
      </c>
      <c r="B48" t="s">
        <v>6</v>
      </c>
      <c r="C48" t="s">
        <v>8</v>
      </c>
      <c r="D48" s="1" t="s">
        <v>9</v>
      </c>
      <c r="E48" s="1" t="s">
        <v>23</v>
      </c>
      <c r="F48" s="1" t="s">
        <v>16</v>
      </c>
      <c r="G48" s="1" t="s">
        <v>17</v>
      </c>
      <c r="H48" s="1" t="s">
        <v>21</v>
      </c>
      <c r="I48" t="s">
        <v>18</v>
      </c>
      <c r="J48" t="s">
        <v>19</v>
      </c>
    </row>
    <row r="49" spans="2:10" x14ac:dyDescent="0.3">
      <c r="B49">
        <v>10000</v>
      </c>
      <c r="C49">
        <v>10000</v>
      </c>
      <c r="D49" s="1">
        <v>500000</v>
      </c>
      <c r="E49" s="1">
        <v>1000000</v>
      </c>
      <c r="F49" s="1">
        <v>1</v>
      </c>
      <c r="G49">
        <v>1.4418E-2</v>
      </c>
      <c r="H49">
        <f>G49-I49</f>
        <v>1.2697E-2</v>
      </c>
      <c r="I49">
        <v>1.7210000000000001E-3</v>
      </c>
      <c r="J49">
        <f>I49/I50</f>
        <v>0.89124805800103579</v>
      </c>
    </row>
    <row r="50" spans="2:10" x14ac:dyDescent="0.3">
      <c r="B50">
        <v>40000</v>
      </c>
      <c r="C50">
        <v>40000</v>
      </c>
      <c r="D50" s="1">
        <v>2000000</v>
      </c>
      <c r="E50" s="1">
        <v>4000000</v>
      </c>
      <c r="F50">
        <v>4</v>
      </c>
      <c r="G50">
        <v>2.3274E-2</v>
      </c>
      <c r="H50">
        <f t="shared" ref="H50:H56" si="12">G50-I50</f>
        <v>2.1343000000000001E-2</v>
      </c>
      <c r="I50">
        <v>1.931E-3</v>
      </c>
      <c r="J50">
        <f>I49/I51</f>
        <v>0.83220502901353977</v>
      </c>
    </row>
    <row r="51" spans="2:10" x14ac:dyDescent="0.3">
      <c r="B51">
        <v>80000</v>
      </c>
      <c r="C51">
        <v>80000</v>
      </c>
      <c r="D51" s="1">
        <v>4000000</v>
      </c>
      <c r="E51" s="1">
        <v>8000000</v>
      </c>
      <c r="F51">
        <v>8</v>
      </c>
      <c r="G51">
        <v>4.1341999999999997E-2</v>
      </c>
      <c r="H51">
        <f>G51-I51</f>
        <v>3.9273999999999996E-2</v>
      </c>
      <c r="I51">
        <v>2.068E-3</v>
      </c>
      <c r="J51">
        <f>I49/I51</f>
        <v>0.83220502901353977</v>
      </c>
    </row>
    <row r="52" spans="2:10" x14ac:dyDescent="0.3">
      <c r="B52">
        <v>160000</v>
      </c>
      <c r="C52">
        <v>160000</v>
      </c>
      <c r="D52" s="1">
        <v>160000</v>
      </c>
      <c r="E52" s="1">
        <v>16000000</v>
      </c>
      <c r="F52">
        <v>16</v>
      </c>
      <c r="G52">
        <v>7.6078000000000007E-2</v>
      </c>
      <c r="H52">
        <f t="shared" si="12"/>
        <v>7.3255000000000001E-2</v>
      </c>
      <c r="I52">
        <v>2.823E-3</v>
      </c>
      <c r="J52">
        <f>I49/I52</f>
        <v>0.60963513992206875</v>
      </c>
    </row>
    <row r="53" spans="2:10" x14ac:dyDescent="0.3">
      <c r="B53">
        <v>320000</v>
      </c>
      <c r="C53">
        <v>320000</v>
      </c>
      <c r="D53" s="1">
        <v>320000</v>
      </c>
      <c r="E53" s="1">
        <v>32000000</v>
      </c>
      <c r="F53">
        <v>32</v>
      </c>
      <c r="G53">
        <v>0.151203</v>
      </c>
      <c r="H53">
        <f t="shared" si="12"/>
        <v>0.146921</v>
      </c>
      <c r="I53">
        <v>4.2820000000000002E-3</v>
      </c>
      <c r="J53">
        <f>I49/I53</f>
        <v>0.40191499299392808</v>
      </c>
    </row>
    <row r="54" spans="2:10" x14ac:dyDescent="0.3">
      <c r="B54">
        <v>640000</v>
      </c>
      <c r="C54">
        <v>640000</v>
      </c>
      <c r="D54" s="1">
        <v>640000</v>
      </c>
      <c r="E54" s="1">
        <v>64000000</v>
      </c>
      <c r="F54">
        <v>64</v>
      </c>
      <c r="G54">
        <v>0.33488800000000002</v>
      </c>
      <c r="H54">
        <f t="shared" si="12"/>
        <v>0.323874</v>
      </c>
      <c r="I54">
        <v>1.1013999999999999E-2</v>
      </c>
      <c r="J54">
        <f>I49/I54</f>
        <v>0.15625567459596879</v>
      </c>
    </row>
    <row r="55" spans="2:10" x14ac:dyDescent="0.3">
      <c r="B55">
        <v>1280000</v>
      </c>
      <c r="C55">
        <v>1280000</v>
      </c>
      <c r="D55" s="1">
        <v>1280000</v>
      </c>
      <c r="E55" s="1">
        <v>128000000</v>
      </c>
      <c r="F55">
        <v>128</v>
      </c>
      <c r="G55">
        <v>0.80076000000000003</v>
      </c>
      <c r="H55">
        <f t="shared" si="12"/>
        <v>0.78795900000000008</v>
      </c>
      <c r="I55">
        <v>1.2801E-2</v>
      </c>
      <c r="J55">
        <f>I49/I55</f>
        <v>0.13444262167018203</v>
      </c>
    </row>
    <row r="56" spans="2:10" x14ac:dyDescent="0.3">
      <c r="B56">
        <v>2560000</v>
      </c>
      <c r="C56">
        <v>2560000</v>
      </c>
      <c r="D56" s="1">
        <v>2560000</v>
      </c>
      <c r="E56" s="1">
        <v>256000000</v>
      </c>
      <c r="F56">
        <v>256</v>
      </c>
      <c r="G56">
        <v>1.771712</v>
      </c>
      <c r="H56">
        <f t="shared" si="12"/>
        <v>1.7301069999999998</v>
      </c>
      <c r="I56">
        <v>4.1605000000000003E-2</v>
      </c>
      <c r="J56">
        <f>I49/I56</f>
        <v>4.1365220526379039E-2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Villa</dc:creator>
  <cp:lastModifiedBy>Andrea Villa</cp:lastModifiedBy>
  <dcterms:created xsi:type="dcterms:W3CDTF">2025-12-27T17:20:29Z</dcterms:created>
  <dcterms:modified xsi:type="dcterms:W3CDTF">2026-01-06T23:55:52Z</dcterms:modified>
</cp:coreProperties>
</file>